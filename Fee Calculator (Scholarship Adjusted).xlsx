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/>
  <mc:AlternateContent xmlns:mc="http://schemas.openxmlformats.org/markup-compatibility/2006">
    <mc:Choice Requires="x15">
      <x15ac:absPath xmlns:x15ac="http://schemas.microsoft.com/office/spreadsheetml/2010/11/ac" url="https://d.docs.live.net/27cfd05e4ec5aefd/Desktop/"/>
    </mc:Choice>
  </mc:AlternateContent>
  <xr:revisionPtr revIDLastSave="0" documentId="8_{D0A34170-3D6C-4661-8840-808A64BED70E}" xr6:coauthVersionLast="47" xr6:coauthVersionMax="47" xr10:uidLastSave="{00000000-0000-0000-0000-000000000000}"/>
  <bookViews>
    <workbookView xWindow="-110" yWindow="-110" windowWidth="19420" windowHeight="10300" xr2:uid="{3849863C-143D-401B-8A40-86171468F4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2" i="1"/>
  <c r="K4" i="1" a="1"/>
  <c r="K4" i="1" s="1"/>
  <c r="K5" i="1" a="1"/>
  <c r="K5" i="1" s="1"/>
  <c r="K6" i="1" a="1"/>
  <c r="K6" i="1" s="1"/>
  <c r="L6" i="1" s="1"/>
  <c r="K7" i="1" a="1"/>
  <c r="K7" i="1" s="1"/>
  <c r="L7" i="1" s="1"/>
  <c r="K8" i="1" a="1"/>
  <c r="K8" i="1" s="1"/>
  <c r="L8" i="1" s="1"/>
  <c r="K9" i="1" a="1"/>
  <c r="K9" i="1" s="1"/>
  <c r="L9" i="1" s="1"/>
  <c r="K10" i="1" a="1"/>
  <c r="K10" i="1" s="1"/>
  <c r="L10" i="1" s="1"/>
  <c r="K11" i="1" a="1"/>
  <c r="K11" i="1" s="1"/>
  <c r="L11" i="1" s="1"/>
  <c r="K3" i="1" a="1"/>
  <c r="K3" i="1" s="1"/>
  <c r="K2" i="1" a="1"/>
  <c r="K2" i="1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<sst xmlns="http://schemas.openxmlformats.org/spreadsheetml/2006/main" count="24" uniqueCount="20">
  <si>
    <t>Sap Id</t>
  </si>
  <si>
    <t>Name</t>
  </si>
  <si>
    <t>Percentage</t>
  </si>
  <si>
    <t>Tution Fee</t>
  </si>
  <si>
    <t xml:space="preserve">Course Reg Fee </t>
  </si>
  <si>
    <t>Exam Fee</t>
  </si>
  <si>
    <t xml:space="preserve">Miscellaneous Charges </t>
  </si>
  <si>
    <t>Scholarship Amount</t>
  </si>
  <si>
    <t>Zain ul Abidin</t>
  </si>
  <si>
    <t>Hammad Butt</t>
  </si>
  <si>
    <t>Rizwan Nawaz</t>
  </si>
  <si>
    <t>Dummy Data</t>
  </si>
  <si>
    <t>Total Payable Fee</t>
  </si>
  <si>
    <t>Program</t>
  </si>
  <si>
    <t>Semester</t>
  </si>
  <si>
    <t>BS Data Science</t>
  </si>
  <si>
    <t>BS Cyber Security</t>
  </si>
  <si>
    <t>5th</t>
  </si>
  <si>
    <t>4th</t>
  </si>
  <si>
    <t>Hostel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</si>
</sst>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NumberFormat="1"/>
    <xf numFmtId="0" fontId="0" fillId="0" borderId="1" xfId="0" applyNumberFormat="1" applyBorder="1" applyAlignment="1">
      <alignment horizontal="center"/>
    </xf>
    <xf numFmtId="2" fontId="0" fillId="0" borderId="1" xfId="1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2" borderId="1" xfId="0" applyNumberFormat="1" applyFont="1" applyFill="1" applyBorder="1" applyAlignment="1">
      <alignment horizontal="center"/>
    </xf>
    <xf numFmtId="2" fontId="2" fillId="2" borderId="1" xfId="0" applyNumberFormat="1" applyFon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2" fontId="0" fillId="4" borderId="1" xfId="0" applyNumberForma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C1063-5984-473B-859B-66DF93BA15BC}">
  <dimension ref="A1:L11"/>
  <sheetViews>
    <sheetView tabSelected="1" topLeftCell="B1" workbookViewId="0">
      <selection activeCell="H17" sqref="H17"/>
    </sheetView>
  </sheetViews>
  <sheetFormatPr defaultRowHeight="14"/>
  <cols>
    <col min="1" max="1" width="9.33203125" style="1" bestFit="1" customWidth="1"/>
    <col min="2" max="2" width="21.4140625" style="1" customWidth="1"/>
    <col min="3" max="3" width="19.9140625" style="1" customWidth="1"/>
    <col min="4" max="4" width="13.33203125" style="1" customWidth="1"/>
    <col min="5" max="5" width="13.6640625" customWidth="1"/>
    <col min="6" max="6" width="12.75" customWidth="1"/>
    <col min="7" max="7" width="17.33203125" customWidth="1"/>
    <col min="8" max="9" width="11.9140625" customWidth="1"/>
    <col min="10" max="10" width="22.25" customWidth="1"/>
    <col min="11" max="11" width="19.75" customWidth="1"/>
    <col min="12" max="12" width="18.9140625" customWidth="1"/>
  </cols>
  <sheetData>
    <row r="1" spans="1:12">
      <c r="A1" s="6" t="s">
        <v>0</v>
      </c>
      <c r="B1" s="6" t="s">
        <v>1</v>
      </c>
      <c r="C1" s="6" t="s">
        <v>13</v>
      </c>
      <c r="D1" s="6" t="s">
        <v>14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19</v>
      </c>
      <c r="J1" s="7" t="s">
        <v>6</v>
      </c>
      <c r="K1" s="7" t="s">
        <v>7</v>
      </c>
      <c r="L1" s="7" t="s">
        <v>12</v>
      </c>
    </row>
    <row r="2" spans="1:12">
      <c r="A2" s="2">
        <v>60180</v>
      </c>
      <c r="B2" s="2" t="s">
        <v>8</v>
      </c>
      <c r="C2" s="2" t="s">
        <v>15</v>
      </c>
      <c r="D2" s="2" t="s">
        <v>17</v>
      </c>
      <c r="E2" s="3">
        <v>80</v>
      </c>
      <c r="F2" s="4">
        <v>141000</v>
      </c>
      <c r="G2" s="4">
        <v>25000</v>
      </c>
      <c r="H2" s="4">
        <v>10000</v>
      </c>
      <c r="I2" s="4">
        <v>10000</v>
      </c>
      <c r="J2" s="4">
        <v>500</v>
      </c>
      <c r="K2" s="9" cm="1">
        <f t="array" ref="K2">_xlfn.IFS(E2&gt;=80,(F2+G2+H2+J2)*0.2,E2&lt;79,0)</f>
        <v>35300</v>
      </c>
      <c r="L2" s="8">
        <f>(F2+G2+H2+I2+J2)-K2</f>
        <v>151200</v>
      </c>
    </row>
    <row r="3" spans="1:12">
      <c r="A3" s="2">
        <v>59944</v>
      </c>
      <c r="B3" s="2" t="s">
        <v>9</v>
      </c>
      <c r="C3" s="2" t="s">
        <v>15</v>
      </c>
      <c r="D3" s="2" t="s">
        <v>17</v>
      </c>
      <c r="E3" s="4">
        <v>79</v>
      </c>
      <c r="F3" s="4">
        <v>141000</v>
      </c>
      <c r="G3" s="4">
        <v>25000</v>
      </c>
      <c r="H3" s="4">
        <v>10000</v>
      </c>
      <c r="I3" s="4">
        <v>0</v>
      </c>
      <c r="J3" s="4">
        <v>500</v>
      </c>
      <c r="K3" s="9" cm="1">
        <f t="array" ref="K3">_xlfn.IFS(E3&gt;=80,(F3+G3+H3+J3)*0.2,E3&lt;=79,0)</f>
        <v>0</v>
      </c>
      <c r="L3" s="8">
        <f t="shared" ref="L3:L5" si="0">(F3+G3+H3+I3+J3)-K3</f>
        <v>176500</v>
      </c>
    </row>
    <row r="4" spans="1:12">
      <c r="A4" s="2">
        <v>60173</v>
      </c>
      <c r="B4" s="2" t="s">
        <v>10</v>
      </c>
      <c r="C4" s="2" t="s">
        <v>15</v>
      </c>
      <c r="D4" s="2" t="s">
        <v>17</v>
      </c>
      <c r="E4" s="4">
        <v>92</v>
      </c>
      <c r="F4" s="4">
        <v>100000</v>
      </c>
      <c r="G4" s="4">
        <v>35000</v>
      </c>
      <c r="H4" s="4">
        <v>15000</v>
      </c>
      <c r="I4" s="4">
        <v>0</v>
      </c>
      <c r="J4" s="4">
        <v>1000</v>
      </c>
      <c r="K4" s="9" cm="1">
        <f t="array" ref="K4">_xlfn.IFS(E4&gt;=80,(F4+G4+H4+J4)*0.2,E4&lt;=79,0)</f>
        <v>30200</v>
      </c>
      <c r="L4" s="8">
        <f t="shared" si="0"/>
        <v>120800</v>
      </c>
    </row>
    <row r="5" spans="1:12">
      <c r="A5" s="2">
        <v>12345</v>
      </c>
      <c r="B5" s="2" t="s">
        <v>11</v>
      </c>
      <c r="C5" s="2" t="s">
        <v>16</v>
      </c>
      <c r="D5" s="2" t="s">
        <v>18</v>
      </c>
      <c r="E5" s="4">
        <v>80</v>
      </c>
      <c r="F5" s="4">
        <v>100000</v>
      </c>
      <c r="G5" s="4">
        <v>25000</v>
      </c>
      <c r="H5" s="4">
        <v>10000</v>
      </c>
      <c r="I5" s="4">
        <v>12000</v>
      </c>
      <c r="J5" s="4">
        <v>500</v>
      </c>
      <c r="K5" s="9" cm="1">
        <f t="array" ref="K5">_xlfn.IFS(E5&gt;=80,(F5+G5+H5+J5)*0.2,E5&lt;=79,0)</f>
        <v>27100</v>
      </c>
      <c r="L5" s="8">
        <f t="shared" si="0"/>
        <v>120400</v>
      </c>
    </row>
    <row r="6" spans="1:12">
      <c r="A6" s="2"/>
      <c r="B6" s="2"/>
      <c r="C6" s="2"/>
      <c r="D6" s="2"/>
      <c r="E6" s="4"/>
      <c r="F6" s="4"/>
      <c r="G6" s="4"/>
      <c r="H6" s="4"/>
      <c r="I6" s="4"/>
      <c r="J6" s="4"/>
      <c r="K6" s="9" cm="1">
        <f t="array" ref="K6">_xlfn.IFS(E6&gt;=80,(F6+G6+H6+J6)*0.2,E6&lt;=79,0)</f>
        <v>0</v>
      </c>
      <c r="L6" s="8">
        <f>(F6+G6+H6+J6)-K6</f>
        <v>0</v>
      </c>
    </row>
    <row r="7" spans="1:12">
      <c r="A7" s="2"/>
      <c r="B7" s="2"/>
      <c r="C7" s="2"/>
      <c r="D7" s="2"/>
      <c r="E7" s="4"/>
      <c r="F7" s="4"/>
      <c r="G7" s="4"/>
      <c r="H7" s="4"/>
      <c r="I7" s="4"/>
      <c r="J7" s="4"/>
      <c r="K7" s="9" cm="1">
        <f t="array" ref="K7">_xlfn.IFS(E7&gt;=80,(F7+G7+H7+J7)*0.2,E7&lt;=79,0)</f>
        <v>0</v>
      </c>
      <c r="L7" s="8">
        <f>(F7+G7+H7+J7)-K7</f>
        <v>0</v>
      </c>
    </row>
    <row r="8" spans="1:12">
      <c r="A8" s="2"/>
      <c r="B8" s="2"/>
      <c r="C8" s="2"/>
      <c r="D8" s="2"/>
      <c r="E8" s="4"/>
      <c r="F8" s="4"/>
      <c r="G8" s="4"/>
      <c r="H8" s="4"/>
      <c r="I8" s="4"/>
      <c r="J8" s="4"/>
      <c r="K8" s="9" cm="1">
        <f t="array" ref="K8">_xlfn.IFS(E8&gt;=80,(F8+G8+H8+J8)*0.2,E8&lt;=79,0)</f>
        <v>0</v>
      </c>
      <c r="L8" s="8">
        <f>(F8+G8+H8+J8)-K8</f>
        <v>0</v>
      </c>
    </row>
    <row r="9" spans="1:12">
      <c r="A9" s="2"/>
      <c r="B9" s="2"/>
      <c r="C9" s="2"/>
      <c r="D9" s="2"/>
      <c r="E9" s="4"/>
      <c r="F9" s="4"/>
      <c r="G9" s="4"/>
      <c r="H9" s="4"/>
      <c r="I9" s="4"/>
      <c r="J9" s="4"/>
      <c r="K9" s="9" cm="1">
        <f t="array" ref="K9">_xlfn.IFS(E9&gt;=80,(F9+G9+H9+J9)*0.2,E9&lt;=79,0)</f>
        <v>0</v>
      </c>
      <c r="L9" s="8">
        <f>(F9+G9+H9+J9)-K9</f>
        <v>0</v>
      </c>
    </row>
    <row r="10" spans="1:12">
      <c r="A10" s="2"/>
      <c r="B10" s="2"/>
      <c r="C10" s="2"/>
      <c r="D10" s="2"/>
      <c r="E10" s="5"/>
      <c r="F10" s="5"/>
      <c r="G10" s="5"/>
      <c r="H10" s="5"/>
      <c r="I10" s="5"/>
      <c r="J10" s="5"/>
      <c r="K10" s="9" cm="1">
        <f t="array" ref="K10">_xlfn.IFS(E10&gt;=80,(F10+G10+H10+J10)*0.2,E10&lt;=79,0)</f>
        <v>0</v>
      </c>
      <c r="L10" s="8">
        <f>(F10+G10+H10+J10)-K10</f>
        <v>0</v>
      </c>
    </row>
    <row r="11" spans="1:12">
      <c r="A11" s="2"/>
      <c r="B11" s="2"/>
      <c r="C11" s="2"/>
      <c r="D11" s="2"/>
      <c r="E11" s="5"/>
      <c r="F11" s="5"/>
      <c r="G11" s="5"/>
      <c r="H11" s="5"/>
      <c r="I11" s="5"/>
      <c r="J11" s="5"/>
      <c r="K11" s="9" cm="1">
        <f t="array" ref="K11">_xlfn.IFS(E11&gt;=80,(F11+G11+H11+J11)*0.2,E11&lt;=79,0)</f>
        <v>0</v>
      </c>
      <c r="L11" s="8">
        <f>(F11+G11+H11+J11)-K11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Zain Rind</dc:creator>
  <cp:lastModifiedBy>hammadbuttbutt011@gmail.com</cp:lastModifiedBy>
  <dcterms:created xsi:type="dcterms:W3CDTF">2026-02-04T17:14:14Z</dcterms:created>
  <dcterms:modified xsi:type="dcterms:W3CDTF">2026-02-04T19:35:16Z</dcterms:modified>
</cp:coreProperties>
</file>